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nishabharti/Sandbox/varista-service/Monthly_Sheet/"/>
    </mc:Choice>
  </mc:AlternateContent>
  <xr:revisionPtr revIDLastSave="0" documentId="13_ncr:1_{92B960E6-998E-D646-BF4A-E6A91F23AB8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ster Muster " sheetId="2" r:id="rId1"/>
    <sheet name="Master Wage" sheetId="3" r:id="rId2"/>
  </sheets>
  <definedNames>
    <definedName name="_xlnm._FilterDatabase" localSheetId="0" hidden="1">'Master Muster '!$A$8:$AT$8</definedName>
    <definedName name="_xlnm._FilterDatabase" localSheetId="1" hidden="1">'Master Wage'!$A$9:$AE$9</definedName>
    <definedName name="_xlnm.Print_Area" localSheetId="0">'Master Muster '!$A$1:$AT$14</definedName>
    <definedName name="_xlnm.Print_Area" localSheetId="1">'Master Wage'!$A$1:$AE$16</definedName>
    <definedName name="_xlnm.Print_Titles" localSheetId="0">'Master Muster '!$1:$8</definedName>
    <definedName name="_xlnm.Print_Titles" localSheetId="1">'Master Wage'!$1:$9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3" l="1"/>
  <c r="X16" i="3"/>
  <c r="S16" i="3"/>
  <c r="R16" i="3"/>
  <c r="O16" i="3"/>
  <c r="N16" i="3"/>
  <c r="M16" i="3"/>
  <c r="Q10" i="3" l="1"/>
  <c r="Q11" i="3"/>
  <c r="Q12" i="3"/>
  <c r="Q13" i="3"/>
  <c r="Q14" i="3"/>
  <c r="Q15" i="3"/>
  <c r="A11" i="3" l="1"/>
  <c r="A12" i="3" s="1"/>
  <c r="A13" i="3" s="1"/>
  <c r="A14" i="3" s="1"/>
  <c r="A15" i="3" s="1"/>
  <c r="Q16" i="3"/>
  <c r="P10" i="3"/>
  <c r="P11" i="3"/>
  <c r="P12" i="3"/>
  <c r="P13" i="3"/>
  <c r="P14" i="3"/>
  <c r="P15" i="3"/>
  <c r="U15" i="3" l="1"/>
  <c r="T15" i="3"/>
  <c r="T10" i="3"/>
  <c r="U10" i="3"/>
  <c r="T13" i="3"/>
  <c r="U13" i="3"/>
  <c r="T12" i="3"/>
  <c r="U12" i="3"/>
  <c r="T14" i="3"/>
  <c r="U14" i="3"/>
  <c r="U11" i="3"/>
  <c r="T11" i="3"/>
  <c r="P16" i="3" l="1"/>
  <c r="V13" i="3"/>
  <c r="W13" i="3"/>
  <c r="V11" i="3"/>
  <c r="W11" i="3"/>
  <c r="V15" i="3"/>
  <c r="W15" i="3"/>
  <c r="V10" i="3"/>
  <c r="W10" i="3"/>
  <c r="V14" i="3"/>
  <c r="W14" i="3"/>
  <c r="V12" i="3"/>
  <c r="W12" i="3"/>
  <c r="T16" i="3"/>
  <c r="U16" i="3" l="1"/>
  <c r="Z14" i="3"/>
  <c r="AA14" i="3" s="1"/>
  <c r="Z13" i="3"/>
  <c r="AA13" i="3" s="1"/>
  <c r="Z15" i="3"/>
  <c r="AA15" i="3" s="1"/>
  <c r="Z12" i="3"/>
  <c r="AA12" i="3" s="1"/>
  <c r="Z11" i="3"/>
  <c r="AA11" i="3" s="1"/>
  <c r="Z10" i="3"/>
  <c r="AA10" i="3" s="1"/>
  <c r="V16" i="3" l="1"/>
  <c r="W16" i="3"/>
  <c r="Z16" i="3" l="1"/>
  <c r="AA16" i="3" l="1"/>
</calcChain>
</file>

<file path=xl/sharedStrings.xml><?xml version="1.0" encoding="utf-8"?>
<sst xmlns="http://schemas.openxmlformats.org/spreadsheetml/2006/main" count="328" uniqueCount="115">
  <si>
    <t>[See Rule 27(1)]</t>
  </si>
  <si>
    <t>Month:- December 2025</t>
  </si>
  <si>
    <t xml:space="preserve">Name and Adress of Vendor: Master </t>
  </si>
  <si>
    <t>Name and Adress of Principle Employer</t>
  </si>
  <si>
    <t>C/O- Larsen &amp; Toubro Limited (MMH)</t>
  </si>
  <si>
    <t>JSW, Pen, Raigardh, Maharashtra</t>
  </si>
  <si>
    <t xml:space="preserve"> JSW Steel, Pen, Maharashtra</t>
  </si>
  <si>
    <t>BF-3 &amp; BOF -3 Project</t>
  </si>
  <si>
    <t xml:space="preserve">S.I.No </t>
  </si>
  <si>
    <t>Aadhar card</t>
  </si>
  <si>
    <t xml:space="preserve">EIP Number </t>
  </si>
  <si>
    <t xml:space="preserve">Name of the Employee </t>
  </si>
  <si>
    <t xml:space="preserve">Designation </t>
  </si>
  <si>
    <t xml:space="preserve">Date of Birth </t>
  </si>
  <si>
    <t xml:space="preserve">Date of Entry </t>
  </si>
  <si>
    <t>Working Hours</t>
  </si>
  <si>
    <t xml:space="preserve">Interval </t>
  </si>
  <si>
    <t xml:space="preserve"> Total Days </t>
  </si>
  <si>
    <t>OT Hours</t>
  </si>
  <si>
    <t>NH-OT</t>
  </si>
  <si>
    <t>JOB Code</t>
  </si>
  <si>
    <t xml:space="preserve">S/c Name </t>
  </si>
  <si>
    <t>Remarks</t>
  </si>
  <si>
    <t>1 Hr</t>
  </si>
  <si>
    <t>Supervisor</t>
  </si>
  <si>
    <t>Welder</t>
  </si>
  <si>
    <t>Tag Welder</t>
  </si>
  <si>
    <t>RAM KUMAR</t>
  </si>
  <si>
    <t>BIKASH KUMAR SINGH</t>
  </si>
  <si>
    <t>VIJAY SAHU</t>
  </si>
  <si>
    <t>BRIJKISHOR YADAV</t>
  </si>
  <si>
    <t>Rohit Vishwakarma</t>
  </si>
  <si>
    <t>ANKIT KUMAR GIRI</t>
  </si>
  <si>
    <t>LE24M354</t>
  </si>
  <si>
    <t>Varista Industrial Solutions</t>
  </si>
  <si>
    <t xml:space="preserve">Wage Sheet </t>
  </si>
  <si>
    <t>Name and Adress of Vendor: MASTER WAGE</t>
  </si>
  <si>
    <t>JSW Steel, Pen, Maharashtra</t>
  </si>
  <si>
    <t>BF-3 &amp; BOF 3Project</t>
  </si>
  <si>
    <t>SR NO</t>
  </si>
  <si>
    <t>AADHAAR NUMBER</t>
  </si>
  <si>
    <t>EIP ID</t>
  </si>
  <si>
    <t>NAME OF EMPLOYEES</t>
  </si>
  <si>
    <t>FATHER NAME</t>
  </si>
  <si>
    <t>GENDER</t>
  </si>
  <si>
    <t>DESIGNATION</t>
  </si>
  <si>
    <t>CATEGORY</t>
  </si>
  <si>
    <t>DOJ</t>
  </si>
  <si>
    <t>UAN NO</t>
  </si>
  <si>
    <t>ESI NO</t>
  </si>
  <si>
    <t>DAILY WAGE</t>
  </si>
  <si>
    <t>WORKED DAYS</t>
  </si>
  <si>
    <t>OT hrs</t>
  </si>
  <si>
    <t>NH OT</t>
  </si>
  <si>
    <t>BASIC WAGES</t>
  </si>
  <si>
    <t>OT AMT.</t>
  </si>
  <si>
    <t>NH AMT</t>
  </si>
  <si>
    <t>HRA</t>
  </si>
  <si>
    <t>GROSS WAGE</t>
  </si>
  <si>
    <t xml:space="preserve">PF </t>
  </si>
  <si>
    <t>ESIC</t>
  </si>
  <si>
    <t>PT</t>
  </si>
  <si>
    <t>LWF</t>
  </si>
  <si>
    <t>OTHER Ded</t>
  </si>
  <si>
    <t>TOTAL DEDUCTION</t>
  </si>
  <si>
    <t>NET Wage</t>
  </si>
  <si>
    <t>DATE OF PAYMENT</t>
  </si>
  <si>
    <t>JOB CODE</t>
  </si>
  <si>
    <t>S/C NAME</t>
  </si>
  <si>
    <t>REMARK</t>
  </si>
  <si>
    <t>M</t>
  </si>
  <si>
    <t>BABAN SINGH</t>
  </si>
  <si>
    <t>HARIOM</t>
  </si>
  <si>
    <t>AYODHYA CHAUHAN</t>
  </si>
  <si>
    <t>RAM ADHAR</t>
  </si>
  <si>
    <t>CHHATHU YADAV</t>
  </si>
  <si>
    <t>ANIL GIRI</t>
  </si>
  <si>
    <t>SSK</t>
  </si>
  <si>
    <t>SK</t>
  </si>
  <si>
    <t>467928491009</t>
  </si>
  <si>
    <t>100522079261.00</t>
  </si>
  <si>
    <t>MANESH RAMCHANDRA SATHE</t>
  </si>
  <si>
    <t>WORKER</t>
  </si>
  <si>
    <t>01/01/2002</t>
  </si>
  <si>
    <t>22/12/2025</t>
  </si>
  <si>
    <t>Day Shift</t>
  </si>
  <si>
    <t>AP</t>
  </si>
  <si>
    <t>AB</t>
  </si>
  <si>
    <t>P</t>
  </si>
  <si>
    <t>HD</t>
  </si>
  <si>
    <t/>
  </si>
  <si>
    <t>668659972003</t>
  </si>
  <si>
    <t>50398096.00</t>
  </si>
  <si>
    <t>DEVIDAS PARASHURAM BHOIR</t>
  </si>
  <si>
    <t>01/01/2001</t>
  </si>
  <si>
    <t>16/12/2025</t>
  </si>
  <si>
    <t>O</t>
  </si>
  <si>
    <t>621584005209</t>
  </si>
  <si>
    <t>103424207342.00</t>
  </si>
  <si>
    <t>RAHUL KUMAR</t>
  </si>
  <si>
    <t>01/01/1991</t>
  </si>
  <si>
    <t>690783849641</t>
  </si>
  <si>
    <t>100425244955.00</t>
  </si>
  <si>
    <t>PRADIP TILAKCHAND BHALAVI</t>
  </si>
  <si>
    <t>09/03/2004</t>
  </si>
  <si>
    <t>913366880513</t>
  </si>
  <si>
    <t>2634723.00</t>
  </si>
  <si>
    <t>RAVI KUMAR  YADAV</t>
  </si>
  <si>
    <t>01/01/1996</t>
  </si>
  <si>
    <t>20/12/2025</t>
  </si>
  <si>
    <t>737469683389</t>
  </si>
  <si>
    <t>100522079278.00</t>
  </si>
  <si>
    <t>SUNIL LAXMAN PATIL</t>
  </si>
  <si>
    <t>01/05/1992</t>
  </si>
  <si>
    <t>GeneratedRows=6; YearMonth=2025-10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</si>
</sst>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1" x14ac:knownFonts="1">
    <font>
      <sz val="11"/>
      <color theme="1"/>
      <name val="Calibri"/>
      <family val="2"/>
      <scheme val="minor"/>
    </font>
    <font>
      <b/>
      <sz val="20"/>
      <color theme="1"/>
      <name val="Calibri Light"/>
      <family val="1"/>
      <scheme val="major"/>
    </font>
    <font>
      <sz val="20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sz val="20"/>
      <name val="Calibri"/>
      <family val="2"/>
      <scheme val="minor"/>
    </font>
    <font>
      <sz val="11"/>
      <name val="Calibri"/>
      <family val="2"/>
    </font>
    <font>
      <b/>
      <sz val="24"/>
      <name val="Calibri"/>
      <family val="2"/>
      <scheme val="minor"/>
    </font>
    <font>
      <sz val="22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name val="Calibri"/>
      <family val="2"/>
      <scheme val="minor"/>
    </font>
    <font>
      <sz val="28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name val="Calibri"/>
      <family val="2"/>
      <scheme val="minor"/>
    </font>
    <font>
      <sz val="14"/>
      <color theme="1"/>
      <name val="Calibri Light"/>
      <family val="2"/>
      <scheme val="major"/>
    </font>
    <font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164" fontId="7" fillId="0" borderId="0" xfId="0" applyNumberFormat="1" applyFont="1"/>
    <xf numFmtId="164" fontId="7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" fontId="13" fillId="2" borderId="3" xfId="0" applyNumberFormat="1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/>
    </xf>
    <xf numFmtId="1" fontId="14" fillId="0" borderId="3" xfId="0" applyNumberFormat="1" applyFont="1" applyBorder="1" applyAlignment="1">
      <alignment horizontal="center" vertical="top"/>
    </xf>
    <xf numFmtId="0" fontId="14" fillId="0" borderId="3" xfId="0" applyFont="1" applyBorder="1" applyAlignment="1">
      <alignment horizontal="left" vertical="top" wrapText="1"/>
    </xf>
    <xf numFmtId="0" fontId="15" fillId="0" borderId="0" xfId="0" applyFont="1" applyAlignment="1">
      <alignment vertical="top"/>
    </xf>
    <xf numFmtId="0" fontId="16" fillId="2" borderId="3" xfId="0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left" vertical="center" wrapText="1"/>
    </xf>
    <xf numFmtId="1" fontId="17" fillId="0" borderId="3" xfId="0" applyNumberFormat="1" applyFont="1" applyBorder="1" applyAlignment="1">
      <alignment vertical="center" wrapText="1"/>
    </xf>
    <xf numFmtId="164" fontId="16" fillId="0" borderId="3" xfId="0" applyNumberFormat="1" applyFont="1" applyBorder="1" applyAlignment="1">
      <alignment horizontal="left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6" fillId="0" borderId="0" xfId="0" applyFont="1"/>
    <xf numFmtId="1" fontId="17" fillId="0" borderId="3" xfId="0" applyNumberFormat="1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19" fillId="0" borderId="3" xfId="0" quotePrefix="1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8C58-E8DA-4B47-8F4B-E59C6329983C}">
  <sheetPr>
    <pageSetUpPr fitToPage="1"/>
  </sheetPr>
  <dimension ref="A1:AT14"/>
  <sheetViews>
    <sheetView tabSelected="1" view="pageBreakPreview" zoomScale="74" zoomScaleNormal="40" zoomScaleSheetLayoutView="55" workbookViewId="0">
      <selection sqref="A1:AT1"/>
    </sheetView>
  </sheetViews>
  <sheetFormatPr baseColWidth="10" defaultColWidth="9.1640625" defaultRowHeight="15" x14ac:dyDescent="0.2"/>
  <cols>
    <col min="1" max="1" width="10.5" style="19" bestFit="1" customWidth="1"/>
    <col min="2" max="2" width="23.6640625" style="19" bestFit="1" customWidth="1"/>
    <col min="3" max="3" width="36" style="19" customWidth="1"/>
    <col min="4" max="4" width="46.33203125" style="20" bestFit="1" customWidth="1"/>
    <col min="5" max="5" width="19" style="21" bestFit="1" customWidth="1"/>
    <col min="6" max="6" width="20.33203125" style="22" bestFit="1" customWidth="1"/>
    <col min="7" max="7" width="20.83203125" style="23" bestFit="1" customWidth="1"/>
    <col min="8" max="8" width="22.5" style="19" bestFit="1" customWidth="1"/>
    <col min="9" max="9" width="13" style="19" bestFit="1" customWidth="1"/>
    <col min="10" max="11" width="5.33203125" style="19" customWidth="1"/>
    <col min="12" max="13" width="3.33203125" style="19" bestFit="1" customWidth="1"/>
    <col min="14" max="14" width="5.33203125" style="19" customWidth="1"/>
    <col min="15" max="17" width="3.83203125" style="19" bestFit="1" customWidth="1"/>
    <col min="18" max="18" width="3.33203125" style="19" bestFit="1" customWidth="1"/>
    <col min="19" max="24" width="5.33203125" style="19" customWidth="1"/>
    <col min="25" max="25" width="5.5" style="19" bestFit="1" customWidth="1"/>
    <col min="26" max="26" width="5.1640625" style="19" bestFit="1" customWidth="1"/>
    <col min="27" max="27" width="5.33203125" style="19" customWidth="1"/>
    <col min="28" max="28" width="6.1640625" style="19" customWidth="1"/>
    <col min="29" max="29" width="5.5" style="19" bestFit="1" customWidth="1"/>
    <col min="30" max="32" width="5.33203125" style="19" customWidth="1"/>
    <col min="33" max="36" width="5.33203125" style="19" bestFit="1" customWidth="1"/>
    <col min="37" max="40" width="5.1640625" style="19" bestFit="1" customWidth="1"/>
    <col min="41" max="41" width="17.83203125" style="19" bestFit="1" customWidth="1"/>
    <col min="42" max="42" width="14.33203125" style="19" bestFit="1" customWidth="1"/>
    <col min="43" max="43" width="10.83203125" style="19" bestFit="1" customWidth="1"/>
    <col min="44" max="44" width="14.5" style="19" bestFit="1" customWidth="1"/>
    <col min="45" max="45" width="40" style="21" bestFit="1" customWidth="1"/>
    <col min="46" max="46" width="13.5" style="19" bestFit="1" customWidth="1"/>
    <col min="47" max="16384" width="9.1640625" style="19"/>
  </cols>
  <sheetData>
    <row r="1" spans="1:46" s="3" customFormat="1" ht="20" customHeight="1" x14ac:dyDescent="0.3">
      <c r="A1" s="67" t="s">
        <v>114</v>
      </c>
      <c r="B1" s="67"/>
      <c r="C1" s="67"/>
      <c r="D1" s="68"/>
      <c r="E1" s="69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70"/>
      <c r="AT1" s="67"/>
    </row>
    <row r="2" spans="1:46" s="3" customFormat="1" ht="20" customHeight="1" x14ac:dyDescent="0.3">
      <c r="A2" s="67" t="s">
        <v>0</v>
      </c>
      <c r="B2" s="67"/>
      <c r="C2" s="67"/>
      <c r="D2" s="68"/>
      <c r="E2" s="69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70"/>
      <c r="AT2" s="67"/>
    </row>
    <row r="3" spans="1:46" s="3" customFormat="1" ht="20" customHeight="1" x14ac:dyDescent="0.3">
      <c r="A3" s="71" t="s">
        <v>1</v>
      </c>
      <c r="B3" s="71"/>
      <c r="C3" s="71"/>
      <c r="D3" s="72"/>
      <c r="E3" s="73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4"/>
      <c r="AT3" s="71"/>
    </row>
    <row r="4" spans="1:46" s="3" customFormat="1" ht="20" customHeight="1" x14ac:dyDescent="0.3">
      <c r="A4" s="1"/>
      <c r="B4" s="1"/>
      <c r="C4" s="4" t="s">
        <v>2</v>
      </c>
      <c r="D4" s="5"/>
      <c r="E4" s="6"/>
      <c r="F4" s="7"/>
      <c r="G4" s="8"/>
      <c r="H4" s="4"/>
      <c r="I4" s="9"/>
      <c r="J4" s="9"/>
      <c r="K4" s="9"/>
      <c r="L4" s="9"/>
      <c r="M4" s="9"/>
      <c r="N4" s="9"/>
      <c r="O4" s="9"/>
      <c r="P4" s="9"/>
      <c r="Q4" s="9"/>
      <c r="R4" s="9"/>
      <c r="S4" s="1"/>
      <c r="T4" s="1"/>
      <c r="U4" s="9"/>
      <c r="V4" s="9"/>
      <c r="W4" s="9"/>
      <c r="X4" s="9"/>
      <c r="Y4" s="9"/>
      <c r="Z4" s="9"/>
      <c r="AA4" s="9"/>
      <c r="AB4" s="10" t="s">
        <v>3</v>
      </c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9"/>
      <c r="AN4" s="9"/>
      <c r="AO4" s="1"/>
      <c r="AP4" s="1"/>
      <c r="AQ4" s="1"/>
      <c r="AR4" s="1"/>
      <c r="AS4" s="2"/>
      <c r="AT4" s="1"/>
    </row>
    <row r="5" spans="1:46" s="3" customFormat="1" ht="20" customHeight="1" x14ac:dyDescent="0.3">
      <c r="A5" s="1"/>
      <c r="B5" s="1"/>
      <c r="C5" s="68" t="s">
        <v>4</v>
      </c>
      <c r="D5" s="68"/>
      <c r="E5" s="70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11"/>
      <c r="R5" s="11"/>
      <c r="S5" s="12"/>
      <c r="T5" s="1"/>
      <c r="U5" s="1"/>
      <c r="V5" s="1"/>
      <c r="W5" s="1"/>
      <c r="X5" s="1"/>
      <c r="Y5" s="1"/>
      <c r="Z5" s="1"/>
      <c r="AA5" s="1"/>
      <c r="AB5" s="75" t="s">
        <v>5</v>
      </c>
      <c r="AC5" s="75"/>
      <c r="AD5" s="75"/>
      <c r="AE5" s="75"/>
      <c r="AF5" s="75"/>
      <c r="AG5" s="75"/>
      <c r="AH5" s="75"/>
      <c r="AI5" s="75"/>
      <c r="AJ5" s="75"/>
      <c r="AK5" s="75"/>
      <c r="AL5" s="12"/>
      <c r="AM5" s="12"/>
      <c r="AN5" s="12"/>
      <c r="AO5" s="1"/>
      <c r="AP5" s="1"/>
      <c r="AQ5" s="1"/>
      <c r="AR5" s="1"/>
      <c r="AS5" s="2"/>
      <c r="AT5" s="1"/>
    </row>
    <row r="6" spans="1:46" s="3" customFormat="1" ht="20" customHeight="1" x14ac:dyDescent="0.3">
      <c r="A6" s="1"/>
      <c r="B6" s="1"/>
      <c r="C6" s="65" t="s">
        <v>6</v>
      </c>
      <c r="D6" s="65"/>
      <c r="E6" s="66"/>
      <c r="F6" s="15"/>
      <c r="G6" s="15"/>
      <c r="H6" s="13"/>
      <c r="I6" s="65"/>
      <c r="J6" s="65"/>
      <c r="K6" s="65"/>
      <c r="L6" s="65"/>
      <c r="M6" s="65"/>
      <c r="N6" s="65"/>
      <c r="O6" s="65"/>
      <c r="P6" s="65"/>
      <c r="Q6" s="11"/>
      <c r="R6" s="11"/>
      <c r="S6" s="1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1"/>
      <c r="AJ6" s="11"/>
      <c r="AK6" s="11"/>
      <c r="AL6" s="11"/>
      <c r="AM6" s="11"/>
      <c r="AN6" s="11"/>
      <c r="AO6" s="1"/>
      <c r="AP6" s="1"/>
      <c r="AQ6" s="1"/>
      <c r="AR6" s="1"/>
      <c r="AS6" s="2"/>
      <c r="AT6" s="1"/>
    </row>
    <row r="7" spans="1:46" s="3" customFormat="1" ht="20" customHeight="1" x14ac:dyDescent="0.3">
      <c r="A7" s="1"/>
      <c r="B7" s="1"/>
      <c r="C7" s="16" t="s">
        <v>7</v>
      </c>
      <c r="D7" s="13"/>
      <c r="E7" s="14"/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9"/>
      <c r="AD7" s="9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/>
      <c r="AP7" s="1"/>
      <c r="AQ7" s="1"/>
      <c r="AR7" s="1"/>
      <c r="AS7" s="2"/>
      <c r="AT7" s="1"/>
    </row>
    <row r="8" spans="1:46" s="3" customFormat="1" ht="66.75" customHeight="1" x14ac:dyDescent="0.3">
      <c r="A8" s="63" t="s">
        <v>8</v>
      </c>
      <c r="B8" s="63" t="s">
        <v>9</v>
      </c>
      <c r="C8" s="63" t="s">
        <v>10</v>
      </c>
      <c r="D8" s="63" t="s">
        <v>11</v>
      </c>
      <c r="E8" s="63" t="s">
        <v>12</v>
      </c>
      <c r="F8" s="63" t="s">
        <v>13</v>
      </c>
      <c r="G8" s="63" t="s">
        <v>14</v>
      </c>
      <c r="H8" s="63" t="s">
        <v>15</v>
      </c>
      <c r="I8" s="63" t="s">
        <v>16</v>
      </c>
      <c r="J8" s="63">
        <v>1</v>
      </c>
      <c r="K8" s="63">
        <v>2</v>
      </c>
      <c r="L8" s="63">
        <v>3</v>
      </c>
      <c r="M8" s="63">
        <v>4</v>
      </c>
      <c r="N8" s="64">
        <v>5</v>
      </c>
      <c r="O8" s="63">
        <v>6</v>
      </c>
      <c r="P8" s="63">
        <v>7</v>
      </c>
      <c r="Q8" s="63">
        <v>8</v>
      </c>
      <c r="R8" s="63">
        <v>9</v>
      </c>
      <c r="S8" s="63">
        <v>10</v>
      </c>
      <c r="T8" s="63">
        <v>11</v>
      </c>
      <c r="U8" s="64">
        <v>12</v>
      </c>
      <c r="V8" s="63">
        <v>13</v>
      </c>
      <c r="W8" s="63">
        <v>14</v>
      </c>
      <c r="X8" s="63">
        <v>15</v>
      </c>
      <c r="Y8" s="63">
        <v>16</v>
      </c>
      <c r="Z8" s="63">
        <v>17</v>
      </c>
      <c r="AA8" s="63">
        <v>18</v>
      </c>
      <c r="AB8" s="64">
        <v>19</v>
      </c>
      <c r="AC8" s="63">
        <v>20</v>
      </c>
      <c r="AD8" s="63">
        <v>21</v>
      </c>
      <c r="AE8" s="63">
        <v>22</v>
      </c>
      <c r="AF8" s="63">
        <v>23</v>
      </c>
      <c r="AG8" s="63">
        <v>24</v>
      </c>
      <c r="AH8" s="63">
        <v>25</v>
      </c>
      <c r="AI8" s="64">
        <v>26</v>
      </c>
      <c r="AJ8" s="63">
        <v>27</v>
      </c>
      <c r="AK8" s="63">
        <v>28</v>
      </c>
      <c r="AL8" s="63">
        <v>29</v>
      </c>
      <c r="AM8" s="63">
        <v>30</v>
      </c>
      <c r="AN8" s="63">
        <v>31</v>
      </c>
      <c r="AO8" s="63" t="s">
        <v>17</v>
      </c>
      <c r="AP8" s="63" t="s">
        <v>18</v>
      </c>
      <c r="AQ8" s="63" t="s">
        <v>19</v>
      </c>
      <c r="AR8" s="63" t="s">
        <v>20</v>
      </c>
      <c r="AS8" s="63" t="s">
        <v>21</v>
      </c>
      <c r="AT8" s="17" t="s">
        <v>22</v>
      </c>
    </row>
    <row r="9" spans="1:46" s="3" customFormat="1" ht="66.75" customHeight="1" x14ac:dyDescent="0.3">
      <c r="A9" s="63">
        <v>1</v>
      </c>
      <c r="B9" s="63" t="s">
        <v>79</v>
      </c>
      <c r="C9" s="63" t="s">
        <v>80</v>
      </c>
      <c r="D9" s="63" t="s">
        <v>81</v>
      </c>
      <c r="E9" s="63" t="s">
        <v>82</v>
      </c>
      <c r="F9" s="63" t="s">
        <v>83</v>
      </c>
      <c r="G9" s="63" t="s">
        <v>84</v>
      </c>
      <c r="H9" s="63" t="s">
        <v>85</v>
      </c>
      <c r="I9" s="63" t="s">
        <v>23</v>
      </c>
      <c r="J9" s="63" t="s">
        <v>86</v>
      </c>
      <c r="K9" s="63" t="s">
        <v>87</v>
      </c>
      <c r="L9" s="63" t="s">
        <v>88</v>
      </c>
      <c r="M9" s="63" t="s">
        <v>88</v>
      </c>
      <c r="N9" s="64" t="s">
        <v>87</v>
      </c>
      <c r="O9" s="63" t="s">
        <v>88</v>
      </c>
      <c r="P9" s="63" t="s">
        <v>88</v>
      </c>
      <c r="Q9" s="63" t="s">
        <v>88</v>
      </c>
      <c r="R9" s="63" t="s">
        <v>88</v>
      </c>
      <c r="S9" s="63" t="s">
        <v>86</v>
      </c>
      <c r="T9" s="63" t="s">
        <v>86</v>
      </c>
      <c r="U9" s="64" t="s">
        <v>87</v>
      </c>
      <c r="V9" s="63" t="s">
        <v>88</v>
      </c>
      <c r="W9" s="63" t="s">
        <v>86</v>
      </c>
      <c r="X9" s="63" t="s">
        <v>86</v>
      </c>
      <c r="Y9" s="63" t="s">
        <v>89</v>
      </c>
      <c r="Z9" s="63" t="s">
        <v>88</v>
      </c>
      <c r="AA9" s="63" t="s">
        <v>86</v>
      </c>
      <c r="AB9" s="64" t="s">
        <v>87</v>
      </c>
      <c r="AC9" s="63" t="s">
        <v>86</v>
      </c>
      <c r="AD9" s="63" t="s">
        <v>87</v>
      </c>
      <c r="AE9" s="63" t="s">
        <v>86</v>
      </c>
      <c r="AF9" s="63" t="s">
        <v>87</v>
      </c>
      <c r="AG9" s="63" t="s">
        <v>87</v>
      </c>
      <c r="AH9" s="63" t="s">
        <v>87</v>
      </c>
      <c r="AI9" s="64" t="s">
        <v>87</v>
      </c>
      <c r="AJ9" s="63" t="s">
        <v>87</v>
      </c>
      <c r="AK9" s="63"/>
      <c r="AL9" s="63"/>
      <c r="AM9" s="63"/>
      <c r="AN9" s="63"/>
      <c r="AO9" s="63">
        <v>16</v>
      </c>
      <c r="AP9" s="63">
        <v>116</v>
      </c>
      <c r="AQ9" s="63">
        <v>0</v>
      </c>
      <c r="AR9" s="63" t="s">
        <v>90</v>
      </c>
      <c r="AS9" s="63" t="s">
        <v>34</v>
      </c>
      <c r="AT9" s="18"/>
    </row>
    <row r="10" spans="1:46" s="3" customFormat="1" ht="66.75" customHeight="1" x14ac:dyDescent="0.3">
      <c r="A10" s="63">
        <v>2</v>
      </c>
      <c r="B10" s="63" t="s">
        <v>91</v>
      </c>
      <c r="C10" s="63" t="s">
        <v>92</v>
      </c>
      <c r="D10" s="63" t="s">
        <v>93</v>
      </c>
      <c r="E10" s="63" t="s">
        <v>82</v>
      </c>
      <c r="F10" s="63" t="s">
        <v>94</v>
      </c>
      <c r="G10" s="63" t="s">
        <v>95</v>
      </c>
      <c r="H10" s="63" t="s">
        <v>85</v>
      </c>
      <c r="I10" s="63" t="s">
        <v>23</v>
      </c>
      <c r="J10" s="63" t="s">
        <v>87</v>
      </c>
      <c r="K10" s="63" t="s">
        <v>87</v>
      </c>
      <c r="L10" s="63" t="s">
        <v>88</v>
      </c>
      <c r="M10" s="63" t="s">
        <v>88</v>
      </c>
      <c r="N10" s="64" t="s">
        <v>87</v>
      </c>
      <c r="O10" s="63" t="s">
        <v>88</v>
      </c>
      <c r="P10" s="63" t="s">
        <v>88</v>
      </c>
      <c r="Q10" s="63" t="s">
        <v>88</v>
      </c>
      <c r="R10" s="63" t="s">
        <v>88</v>
      </c>
      <c r="S10" s="63" t="s">
        <v>96</v>
      </c>
      <c r="T10" s="63" t="s">
        <v>96</v>
      </c>
      <c r="U10" s="64" t="s">
        <v>87</v>
      </c>
      <c r="V10" s="63" t="s">
        <v>87</v>
      </c>
      <c r="W10" s="63" t="s">
        <v>96</v>
      </c>
      <c r="X10" s="63" t="s">
        <v>96</v>
      </c>
      <c r="Y10" s="63" t="s">
        <v>96</v>
      </c>
      <c r="Z10" s="63" t="s">
        <v>96</v>
      </c>
      <c r="AA10" s="63" t="s">
        <v>96</v>
      </c>
      <c r="AB10" s="64" t="s">
        <v>87</v>
      </c>
      <c r="AC10" s="63" t="s">
        <v>96</v>
      </c>
      <c r="AD10" s="63" t="s">
        <v>87</v>
      </c>
      <c r="AE10" s="63" t="s">
        <v>96</v>
      </c>
      <c r="AF10" s="63" t="s">
        <v>87</v>
      </c>
      <c r="AG10" s="63" t="s">
        <v>87</v>
      </c>
      <c r="AH10" s="63" t="s">
        <v>88</v>
      </c>
      <c r="AI10" s="64" t="s">
        <v>87</v>
      </c>
      <c r="AJ10" s="63" t="s">
        <v>96</v>
      </c>
      <c r="AK10" s="63"/>
      <c r="AL10" s="63"/>
      <c r="AM10" s="63"/>
      <c r="AN10" s="63"/>
      <c r="AO10" s="63">
        <v>7</v>
      </c>
      <c r="AP10" s="63">
        <v>62</v>
      </c>
      <c r="AQ10" s="63">
        <v>0</v>
      </c>
      <c r="AR10" s="63" t="s">
        <v>90</v>
      </c>
      <c r="AS10" s="63" t="s">
        <v>34</v>
      </c>
      <c r="AT10" s="18"/>
    </row>
    <row r="11" spans="1:46" s="3" customFormat="1" ht="66.75" customHeight="1" x14ac:dyDescent="0.3">
      <c r="A11" s="63">
        <v>3</v>
      </c>
      <c r="B11" s="63" t="s">
        <v>97</v>
      </c>
      <c r="C11" s="63" t="s">
        <v>98</v>
      </c>
      <c r="D11" s="63" t="s">
        <v>99</v>
      </c>
      <c r="E11" s="63" t="s">
        <v>82</v>
      </c>
      <c r="F11" s="63" t="s">
        <v>100</v>
      </c>
      <c r="G11" s="63" t="s">
        <v>95</v>
      </c>
      <c r="H11" s="63" t="s">
        <v>85</v>
      </c>
      <c r="I11" s="63" t="s">
        <v>23</v>
      </c>
      <c r="J11" s="63" t="s">
        <v>96</v>
      </c>
      <c r="K11" s="63" t="s">
        <v>87</v>
      </c>
      <c r="L11" s="63" t="s">
        <v>88</v>
      </c>
      <c r="M11" s="63" t="s">
        <v>88</v>
      </c>
      <c r="N11" s="64" t="s">
        <v>87</v>
      </c>
      <c r="O11" s="63" t="s">
        <v>88</v>
      </c>
      <c r="P11" s="63" t="s">
        <v>96</v>
      </c>
      <c r="Q11" s="63" t="s">
        <v>88</v>
      </c>
      <c r="R11" s="63" t="s">
        <v>88</v>
      </c>
      <c r="S11" s="63" t="s">
        <v>96</v>
      </c>
      <c r="T11" s="63" t="s">
        <v>96</v>
      </c>
      <c r="U11" s="64" t="s">
        <v>87</v>
      </c>
      <c r="V11" s="63" t="s">
        <v>88</v>
      </c>
      <c r="W11" s="63" t="s">
        <v>96</v>
      </c>
      <c r="X11" s="63" t="s">
        <v>88</v>
      </c>
      <c r="Y11" s="63" t="s">
        <v>96</v>
      </c>
      <c r="Z11" s="63" t="s">
        <v>88</v>
      </c>
      <c r="AA11" s="63" t="s">
        <v>96</v>
      </c>
      <c r="AB11" s="64" t="s">
        <v>87</v>
      </c>
      <c r="AC11" s="63" t="s">
        <v>96</v>
      </c>
      <c r="AD11" s="63" t="s">
        <v>87</v>
      </c>
      <c r="AE11" s="63" t="s">
        <v>96</v>
      </c>
      <c r="AF11" s="63" t="s">
        <v>88</v>
      </c>
      <c r="AG11" s="63" t="s">
        <v>96</v>
      </c>
      <c r="AH11" s="63" t="s">
        <v>88</v>
      </c>
      <c r="AI11" s="64" t="s">
        <v>87</v>
      </c>
      <c r="AJ11" s="63" t="s">
        <v>96</v>
      </c>
      <c r="AK11" s="63"/>
      <c r="AL11" s="63"/>
      <c r="AM11" s="63"/>
      <c r="AN11" s="63"/>
      <c r="AO11" s="63">
        <v>10</v>
      </c>
      <c r="AP11" s="63">
        <v>81</v>
      </c>
      <c r="AQ11" s="63">
        <v>0</v>
      </c>
      <c r="AR11" s="63" t="s">
        <v>90</v>
      </c>
      <c r="AS11" s="63" t="s">
        <v>34</v>
      </c>
      <c r="AT11" s="18"/>
    </row>
    <row r="12" spans="1:46" s="3" customFormat="1" ht="66.75" customHeight="1" x14ac:dyDescent="0.3">
      <c r="A12" s="63">
        <v>4</v>
      </c>
      <c r="B12" s="63" t="s">
        <v>101</v>
      </c>
      <c r="C12" s="63" t="s">
        <v>102</v>
      </c>
      <c r="D12" s="63" t="s">
        <v>103</v>
      </c>
      <c r="E12" s="63" t="s">
        <v>82</v>
      </c>
      <c r="F12" s="63" t="s">
        <v>104</v>
      </c>
      <c r="G12" s="63" t="s">
        <v>95</v>
      </c>
      <c r="H12" s="63" t="s">
        <v>85</v>
      </c>
      <c r="I12" s="63" t="s">
        <v>23</v>
      </c>
      <c r="J12" s="63" t="s">
        <v>88</v>
      </c>
      <c r="K12" s="63" t="s">
        <v>87</v>
      </c>
      <c r="L12" s="63" t="s">
        <v>88</v>
      </c>
      <c r="M12" s="63" t="s">
        <v>88</v>
      </c>
      <c r="N12" s="64" t="s">
        <v>87</v>
      </c>
      <c r="O12" s="63" t="s">
        <v>96</v>
      </c>
      <c r="P12" s="63" t="s">
        <v>88</v>
      </c>
      <c r="Q12" s="63" t="s">
        <v>96</v>
      </c>
      <c r="R12" s="63" t="s">
        <v>88</v>
      </c>
      <c r="S12" s="63" t="s">
        <v>96</v>
      </c>
      <c r="T12" s="63" t="s">
        <v>96</v>
      </c>
      <c r="U12" s="64" t="s">
        <v>87</v>
      </c>
      <c r="V12" s="63" t="s">
        <v>88</v>
      </c>
      <c r="W12" s="63" t="s">
        <v>96</v>
      </c>
      <c r="X12" s="63" t="s">
        <v>88</v>
      </c>
      <c r="Y12" s="63" t="s">
        <v>96</v>
      </c>
      <c r="Z12" s="63" t="s">
        <v>96</v>
      </c>
      <c r="AA12" s="63" t="s">
        <v>96</v>
      </c>
      <c r="AB12" s="64" t="s">
        <v>87</v>
      </c>
      <c r="AC12" s="63" t="s">
        <v>96</v>
      </c>
      <c r="AD12" s="63" t="s">
        <v>87</v>
      </c>
      <c r="AE12" s="63" t="s">
        <v>96</v>
      </c>
      <c r="AF12" s="63" t="s">
        <v>88</v>
      </c>
      <c r="AG12" s="63" t="s">
        <v>96</v>
      </c>
      <c r="AH12" s="63" t="s">
        <v>88</v>
      </c>
      <c r="AI12" s="64" t="s">
        <v>87</v>
      </c>
      <c r="AJ12" s="63" t="s">
        <v>96</v>
      </c>
      <c r="AK12" s="63"/>
      <c r="AL12" s="63"/>
      <c r="AM12" s="63"/>
      <c r="AN12" s="63"/>
      <c r="AO12" s="63">
        <v>9</v>
      </c>
      <c r="AP12" s="63">
        <v>78</v>
      </c>
      <c r="AQ12" s="63">
        <v>0</v>
      </c>
      <c r="AR12" s="63" t="s">
        <v>90</v>
      </c>
      <c r="AS12" s="63" t="s">
        <v>34</v>
      </c>
      <c r="AT12" s="18"/>
    </row>
    <row r="13" spans="1:46" s="3" customFormat="1" ht="66.75" customHeight="1" x14ac:dyDescent="0.3">
      <c r="A13" s="63">
        <v>5</v>
      </c>
      <c r="B13" s="63" t="s">
        <v>105</v>
      </c>
      <c r="C13" s="63" t="s">
        <v>106</v>
      </c>
      <c r="D13" s="63" t="s">
        <v>107</v>
      </c>
      <c r="E13" s="63" t="s">
        <v>82</v>
      </c>
      <c r="F13" s="63" t="s">
        <v>108</v>
      </c>
      <c r="G13" s="63" t="s">
        <v>109</v>
      </c>
      <c r="H13" s="63" t="s">
        <v>85</v>
      </c>
      <c r="I13" s="63" t="s">
        <v>23</v>
      </c>
      <c r="J13" s="63" t="s">
        <v>96</v>
      </c>
      <c r="K13" s="63" t="s">
        <v>87</v>
      </c>
      <c r="L13" s="63" t="s">
        <v>88</v>
      </c>
      <c r="M13" s="63" t="s">
        <v>88</v>
      </c>
      <c r="N13" s="64" t="s">
        <v>87</v>
      </c>
      <c r="O13" s="63" t="s">
        <v>88</v>
      </c>
      <c r="P13" s="63" t="s">
        <v>88</v>
      </c>
      <c r="Q13" s="63" t="s">
        <v>96</v>
      </c>
      <c r="R13" s="63" t="s">
        <v>88</v>
      </c>
      <c r="S13" s="63" t="s">
        <v>96</v>
      </c>
      <c r="T13" s="63" t="s">
        <v>96</v>
      </c>
      <c r="U13" s="64" t="s">
        <v>87</v>
      </c>
      <c r="V13" s="63" t="s">
        <v>88</v>
      </c>
      <c r="W13" s="63" t="s">
        <v>96</v>
      </c>
      <c r="X13" s="63" t="s">
        <v>96</v>
      </c>
      <c r="Y13" s="63" t="s">
        <v>96</v>
      </c>
      <c r="Z13" s="63" t="s">
        <v>96</v>
      </c>
      <c r="AA13" s="63" t="s">
        <v>96</v>
      </c>
      <c r="AB13" s="64" t="s">
        <v>87</v>
      </c>
      <c r="AC13" s="63" t="s">
        <v>96</v>
      </c>
      <c r="AD13" s="63" t="s">
        <v>87</v>
      </c>
      <c r="AE13" s="63" t="s">
        <v>96</v>
      </c>
      <c r="AF13" s="63" t="s">
        <v>96</v>
      </c>
      <c r="AG13" s="63" t="s">
        <v>96</v>
      </c>
      <c r="AH13" s="63" t="s">
        <v>88</v>
      </c>
      <c r="AI13" s="64" t="s">
        <v>87</v>
      </c>
      <c r="AJ13" s="63" t="s">
        <v>96</v>
      </c>
      <c r="AK13" s="63"/>
      <c r="AL13" s="63"/>
      <c r="AM13" s="63"/>
      <c r="AN13" s="63"/>
      <c r="AO13" s="63">
        <v>7</v>
      </c>
      <c r="AP13" s="63">
        <v>62</v>
      </c>
      <c r="AQ13" s="63">
        <v>0</v>
      </c>
      <c r="AR13" s="63" t="s">
        <v>90</v>
      </c>
      <c r="AS13" s="63" t="s">
        <v>34</v>
      </c>
      <c r="AT13" s="18"/>
    </row>
    <row r="14" spans="1:46" s="3" customFormat="1" ht="66.75" customHeight="1" x14ac:dyDescent="0.3">
      <c r="A14" s="63">
        <v>6</v>
      </c>
      <c r="B14" s="63" t="s">
        <v>110</v>
      </c>
      <c r="C14" s="63" t="s">
        <v>111</v>
      </c>
      <c r="D14" s="63" t="s">
        <v>112</v>
      </c>
      <c r="E14" s="63" t="s">
        <v>82</v>
      </c>
      <c r="F14" s="63" t="s">
        <v>113</v>
      </c>
      <c r="G14" s="63" t="s">
        <v>84</v>
      </c>
      <c r="H14" s="63" t="s">
        <v>85</v>
      </c>
      <c r="I14" s="63" t="s">
        <v>23</v>
      </c>
      <c r="J14" s="63" t="s">
        <v>96</v>
      </c>
      <c r="K14" s="63" t="s">
        <v>87</v>
      </c>
      <c r="L14" s="63" t="s">
        <v>88</v>
      </c>
      <c r="M14" s="63" t="s">
        <v>88</v>
      </c>
      <c r="N14" s="64" t="s">
        <v>87</v>
      </c>
      <c r="O14" s="63" t="s">
        <v>88</v>
      </c>
      <c r="P14" s="63" t="s">
        <v>88</v>
      </c>
      <c r="Q14" s="63" t="s">
        <v>96</v>
      </c>
      <c r="R14" s="63" t="s">
        <v>88</v>
      </c>
      <c r="S14" s="63" t="s">
        <v>87</v>
      </c>
      <c r="T14" s="63" t="s">
        <v>96</v>
      </c>
      <c r="U14" s="64" t="s">
        <v>87</v>
      </c>
      <c r="V14" s="63" t="s">
        <v>87</v>
      </c>
      <c r="W14" s="63" t="s">
        <v>96</v>
      </c>
      <c r="X14" s="63" t="s">
        <v>96</v>
      </c>
      <c r="Y14" s="63" t="s">
        <v>96</v>
      </c>
      <c r="Z14" s="63" t="s">
        <v>96</v>
      </c>
      <c r="AA14" s="63" t="s">
        <v>96</v>
      </c>
      <c r="AB14" s="64" t="s">
        <v>87</v>
      </c>
      <c r="AC14" s="63" t="s">
        <v>89</v>
      </c>
      <c r="AD14" s="63" t="s">
        <v>87</v>
      </c>
      <c r="AE14" s="63" t="s">
        <v>96</v>
      </c>
      <c r="AF14" s="63" t="s">
        <v>87</v>
      </c>
      <c r="AG14" s="63" t="s">
        <v>96</v>
      </c>
      <c r="AH14" s="63" t="s">
        <v>88</v>
      </c>
      <c r="AI14" s="64" t="s">
        <v>87</v>
      </c>
      <c r="AJ14" s="63" t="s">
        <v>96</v>
      </c>
      <c r="AK14" s="63"/>
      <c r="AL14" s="63"/>
      <c r="AM14" s="63"/>
      <c r="AN14" s="63"/>
      <c r="AO14" s="63">
        <v>6</v>
      </c>
      <c r="AP14" s="63">
        <v>54</v>
      </c>
      <c r="AQ14" s="63">
        <v>0</v>
      </c>
      <c r="AR14" s="63" t="s">
        <v>90</v>
      </c>
      <c r="AS14" s="63" t="s">
        <v>34</v>
      </c>
      <c r="AT14" s="18"/>
    </row>
  </sheetData>
  <mergeCells count="8">
    <mergeCell ref="C6:E6"/>
    <mergeCell ref="I6:P6"/>
    <mergeCell ref="A1:AT1"/>
    <mergeCell ref="A2:AT2"/>
    <mergeCell ref="A3:AT3"/>
    <mergeCell ref="C5:H5"/>
    <mergeCell ref="I5:P5"/>
    <mergeCell ref="AB5:AK5"/>
  </mergeCells>
  <conditionalFormatting sqref="B1:B1048576">
    <cfRule type="duplicateValues" dxfId="61" priority="126"/>
  </conditionalFormatting>
  <conditionalFormatting sqref="C1:C1048576">
    <cfRule type="duplicateValues" dxfId="60" priority="66"/>
  </conditionalFormatting>
  <conditionalFormatting sqref="B1:B14">
    <cfRule type="duplicateValues" dxfId="25" priority="6746"/>
    <cfRule type="duplicateValues" dxfId="24" priority="6747"/>
    <cfRule type="duplicateValues" dxfId="23" priority="6748"/>
    <cfRule type="duplicateValues" dxfId="22" priority="6749"/>
    <cfRule type="duplicateValues" dxfId="21" priority="6750"/>
  </conditionalFormatting>
  <conditionalFormatting sqref="C1:C14">
    <cfRule type="duplicateValues" dxfId="20" priority="6754"/>
    <cfRule type="duplicateValues" dxfId="19" priority="6755"/>
    <cfRule type="duplicateValues" dxfId="18" priority="6756"/>
    <cfRule type="duplicateValues" dxfId="17" priority="6757"/>
    <cfRule type="duplicateValues" dxfId="16" priority="6758"/>
    <cfRule type="duplicateValues" dxfId="15" priority="6759"/>
    <cfRule type="duplicateValues" dxfId="14" priority="6760"/>
    <cfRule type="duplicateValues" dxfId="13" priority="6761"/>
    <cfRule type="duplicateValues" dxfId="12" priority="6762"/>
    <cfRule type="duplicateValues" dxfId="11" priority="6763"/>
    <cfRule type="duplicateValues" dxfId="10" priority="6764"/>
    <cfRule type="duplicateValues" dxfId="9" priority="6765"/>
    <cfRule type="duplicateValues" dxfId="8" priority="6766"/>
    <cfRule type="duplicateValues" dxfId="7" priority="6767"/>
    <cfRule type="duplicateValues" dxfId="6" priority="6768"/>
    <cfRule type="duplicateValues" dxfId="5" priority="6769"/>
    <cfRule type="duplicateValues" dxfId="4" priority="6770"/>
    <cfRule type="duplicateValues" dxfId="3" priority="6771"/>
    <cfRule type="duplicateValues" dxfId="2" priority="6772"/>
    <cfRule type="duplicateValues" dxfId="1" priority="6773"/>
    <cfRule type="duplicateValues" dxfId="0" priority="6774"/>
  </conditionalFormatting>
  <pageMargins left="0.23622047244094491" right="0.23622047244094491" top="0.74803149606299213" bottom="0.74803149606299213" header="0.31496062992125984" footer="0.31496062992125984"/>
  <pageSetup paperSize="9" scale="27" fitToHeight="0" orientation="landscape" r:id="rId1"/>
  <headerFooter>
    <oddFooter>&amp;L_x000D_&amp;1#&amp;"Aptos"&amp;8&amp;K000000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02CF-CAC5-4C7F-AF81-A4D2D85B9E48}">
  <sheetPr>
    <pageSetUpPr fitToPage="1"/>
  </sheetPr>
  <dimension ref="A1:AE16"/>
  <sheetViews>
    <sheetView view="pageBreakPreview" topLeftCell="F1" zoomScale="40" zoomScaleNormal="40" zoomScaleSheetLayoutView="40" workbookViewId="0">
      <selection activeCell="A9" sqref="A9"/>
    </sheetView>
  </sheetViews>
  <sheetFormatPr baseColWidth="10" defaultColWidth="8.6640625" defaultRowHeight="31" x14ac:dyDescent="0.35"/>
  <cols>
    <col min="1" max="1" width="12.83203125" style="30" customWidth="1"/>
    <col min="2" max="2" width="38.5" style="54" customWidth="1"/>
    <col min="3" max="3" width="42.1640625" style="55" customWidth="1"/>
    <col min="4" max="4" width="45.83203125" style="55" customWidth="1"/>
    <col min="5" max="5" width="36.6640625" style="55" customWidth="1"/>
    <col min="6" max="6" width="8.5" style="56" customWidth="1"/>
    <col min="7" max="7" width="31.83203125" style="30" customWidth="1"/>
    <col min="8" max="8" width="11.83203125" style="56" customWidth="1"/>
    <col min="9" max="9" width="28.1640625" style="30" customWidth="1"/>
    <col min="10" max="10" width="39.6640625" style="57" customWidth="1"/>
    <col min="11" max="11" width="30.83203125" style="57" customWidth="1"/>
    <col min="12" max="12" width="18.6640625" style="56" customWidth="1"/>
    <col min="13" max="13" width="18.33203125" style="30" customWidth="1"/>
    <col min="14" max="14" width="20.5" style="30" bestFit="1" customWidth="1"/>
    <col min="15" max="15" width="6.83203125" style="30" customWidth="1"/>
    <col min="16" max="16" width="28.33203125" style="30" customWidth="1"/>
    <col min="17" max="17" width="21.5" style="30" customWidth="1"/>
    <col min="18" max="18" width="9.1640625" style="30" customWidth="1"/>
    <col min="19" max="19" width="7.1640625" style="30" customWidth="1"/>
    <col min="20" max="20" width="27.5" style="30" customWidth="1"/>
    <col min="21" max="22" width="21.83203125" style="30" customWidth="1"/>
    <col min="23" max="23" width="19.1640625" style="30" customWidth="1"/>
    <col min="24" max="25" width="16.83203125" style="30" customWidth="1"/>
    <col min="26" max="26" width="29" style="30" customWidth="1"/>
    <col min="27" max="27" width="33.33203125" style="30" customWidth="1"/>
    <col min="28" max="28" width="19.83203125" style="30" customWidth="1"/>
    <col min="29" max="29" width="25.1640625" style="30" customWidth="1"/>
    <col min="30" max="30" width="40.5" style="58" customWidth="1"/>
    <col min="31" max="31" width="33.5" style="30" customWidth="1"/>
    <col min="32" max="16384" width="8.6640625" style="59"/>
  </cols>
  <sheetData>
    <row r="1" spans="1:31" s="24" customFormat="1" x14ac:dyDescent="0.35">
      <c r="A1" s="76" t="s">
        <v>35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</row>
    <row r="2" spans="1:31" s="24" customFormat="1" x14ac:dyDescent="0.35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 spans="1:31" s="24" customFormat="1" x14ac:dyDescent="0.35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</row>
    <row r="4" spans="1:31" s="24" customFormat="1" x14ac:dyDescent="0.35">
      <c r="A4" s="25"/>
      <c r="B4" s="26"/>
      <c r="C4" s="25"/>
      <c r="D4" s="27" t="s">
        <v>36</v>
      </c>
      <c r="E4" s="27"/>
      <c r="F4" s="28"/>
      <c r="G4" s="27"/>
      <c r="H4" s="28"/>
      <c r="I4" s="29"/>
      <c r="J4" s="26"/>
      <c r="K4" s="28"/>
      <c r="L4" s="28"/>
      <c r="M4" s="27"/>
      <c r="N4" s="27"/>
      <c r="O4" s="27"/>
      <c r="P4" s="27"/>
      <c r="Q4" s="27"/>
      <c r="R4" s="25"/>
      <c r="S4" s="28"/>
      <c r="T4" s="29"/>
      <c r="U4" s="29"/>
      <c r="V4" s="29" t="s">
        <v>3</v>
      </c>
      <c r="W4" s="29"/>
      <c r="X4" s="29"/>
      <c r="Y4" s="29"/>
      <c r="Z4" s="29"/>
      <c r="AA4" s="30"/>
      <c r="AB4" s="29"/>
      <c r="AC4" s="25"/>
      <c r="AD4" s="27"/>
      <c r="AE4" s="29"/>
    </row>
    <row r="5" spans="1:31" s="24" customFormat="1" x14ac:dyDescent="0.35">
      <c r="A5" s="25"/>
      <c r="B5" s="26"/>
      <c r="C5" s="25"/>
      <c r="D5" s="31" t="s">
        <v>4</v>
      </c>
      <c r="E5" s="27"/>
      <c r="F5" s="28"/>
      <c r="G5" s="27"/>
      <c r="H5" s="28"/>
      <c r="I5" s="28"/>
      <c r="J5" s="28"/>
      <c r="K5" s="28"/>
      <c r="L5" s="28"/>
      <c r="M5" s="27"/>
      <c r="N5" s="27"/>
      <c r="O5" s="27"/>
      <c r="P5" s="27"/>
      <c r="Q5" s="27"/>
      <c r="R5" s="31"/>
      <c r="S5" s="32"/>
      <c r="T5" s="28"/>
      <c r="U5" s="28"/>
      <c r="V5" s="27" t="s">
        <v>5</v>
      </c>
      <c r="W5" s="28"/>
      <c r="X5" s="28"/>
      <c r="Y5" s="28"/>
      <c r="Z5" s="28"/>
      <c r="AA5" s="30"/>
      <c r="AB5" s="27"/>
      <c r="AC5" s="28"/>
      <c r="AD5" s="27"/>
      <c r="AE5" s="31"/>
    </row>
    <row r="6" spans="1:31" s="24" customFormat="1" x14ac:dyDescent="0.35">
      <c r="A6" s="25"/>
      <c r="B6" s="26"/>
      <c r="C6" s="25"/>
      <c r="D6" s="31" t="s">
        <v>37</v>
      </c>
      <c r="E6" s="33"/>
      <c r="F6" s="32"/>
      <c r="G6" s="33"/>
      <c r="H6" s="32"/>
      <c r="I6" s="28"/>
      <c r="J6" s="28"/>
      <c r="K6" s="32"/>
      <c r="L6" s="32"/>
      <c r="M6" s="33"/>
      <c r="N6" s="33"/>
      <c r="O6" s="33"/>
      <c r="P6" s="33"/>
      <c r="Q6" s="33"/>
      <c r="R6" s="31"/>
      <c r="S6" s="32"/>
      <c r="T6" s="28"/>
      <c r="U6" s="28"/>
      <c r="V6" s="28"/>
      <c r="W6" s="28"/>
      <c r="X6" s="28"/>
      <c r="Y6" s="28"/>
      <c r="Z6" s="28"/>
      <c r="AA6" s="28"/>
      <c r="AB6" s="28"/>
      <c r="AC6" s="28"/>
      <c r="AD6" s="27"/>
      <c r="AE6" s="28"/>
    </row>
    <row r="7" spans="1:31" s="24" customFormat="1" x14ac:dyDescent="0.35">
      <c r="A7" s="32"/>
      <c r="B7" s="32"/>
      <c r="C7" s="32"/>
      <c r="D7" s="31" t="s">
        <v>38</v>
      </c>
      <c r="E7" s="33"/>
      <c r="F7" s="32"/>
      <c r="G7" s="33"/>
      <c r="H7" s="32"/>
      <c r="I7" s="31"/>
      <c r="J7" s="34"/>
      <c r="K7" s="35"/>
      <c r="L7" s="35"/>
      <c r="M7" s="36"/>
      <c r="N7" s="36"/>
      <c r="O7" s="36"/>
      <c r="P7" s="36"/>
      <c r="Q7" s="32"/>
      <c r="R7" s="31"/>
      <c r="S7" s="31"/>
      <c r="T7" s="30"/>
      <c r="U7" s="31"/>
      <c r="V7" s="31"/>
      <c r="W7" s="31"/>
      <c r="X7" s="31"/>
      <c r="Y7" s="31"/>
      <c r="Z7" s="31"/>
      <c r="AA7" s="31"/>
      <c r="AB7" s="29"/>
      <c r="AC7" s="29"/>
      <c r="AD7" s="33"/>
      <c r="AE7" s="31"/>
    </row>
    <row r="8" spans="1:31" s="24" customFormat="1" x14ac:dyDescent="0.35">
      <c r="A8" s="32"/>
      <c r="B8" s="32"/>
      <c r="C8" s="32"/>
      <c r="D8" s="31"/>
      <c r="E8" s="33"/>
      <c r="F8" s="32"/>
      <c r="G8" s="33"/>
      <c r="H8" s="32"/>
      <c r="I8" s="31"/>
      <c r="J8" s="37"/>
      <c r="K8" s="35"/>
      <c r="L8" s="35"/>
      <c r="M8" s="36"/>
      <c r="N8" s="36"/>
      <c r="O8" s="36"/>
      <c r="P8" s="36"/>
      <c r="Q8" s="32"/>
      <c r="R8" s="31"/>
      <c r="S8" s="31"/>
      <c r="T8" s="31"/>
      <c r="U8" s="31"/>
      <c r="V8" s="31"/>
      <c r="W8" s="31"/>
      <c r="X8" s="31"/>
      <c r="Y8" s="31"/>
      <c r="Z8" s="31"/>
      <c r="AA8" s="31"/>
      <c r="AB8" s="29"/>
      <c r="AC8" s="29"/>
      <c r="AD8" s="33"/>
      <c r="AE8" s="31"/>
    </row>
    <row r="9" spans="1:31" s="42" customFormat="1" ht="102.75" customHeight="1" x14ac:dyDescent="0.2">
      <c r="A9" s="38" t="s">
        <v>39</v>
      </c>
      <c r="B9" s="38" t="s">
        <v>40</v>
      </c>
      <c r="C9" s="38" t="s">
        <v>41</v>
      </c>
      <c r="D9" s="38" t="s">
        <v>42</v>
      </c>
      <c r="E9" s="39" t="s">
        <v>43</v>
      </c>
      <c r="F9" s="38" t="s">
        <v>44</v>
      </c>
      <c r="G9" s="38" t="s">
        <v>45</v>
      </c>
      <c r="H9" s="38" t="s">
        <v>46</v>
      </c>
      <c r="I9" s="38" t="s">
        <v>47</v>
      </c>
      <c r="J9" s="40" t="s">
        <v>48</v>
      </c>
      <c r="K9" s="40" t="s">
        <v>49</v>
      </c>
      <c r="L9" s="38" t="s">
        <v>50</v>
      </c>
      <c r="M9" s="38" t="s">
        <v>51</v>
      </c>
      <c r="N9" s="38" t="s">
        <v>52</v>
      </c>
      <c r="O9" s="38" t="s">
        <v>53</v>
      </c>
      <c r="P9" s="38" t="s">
        <v>54</v>
      </c>
      <c r="Q9" s="38" t="s">
        <v>55</v>
      </c>
      <c r="R9" s="38" t="s">
        <v>56</v>
      </c>
      <c r="S9" s="38" t="s">
        <v>57</v>
      </c>
      <c r="T9" s="38" t="s">
        <v>58</v>
      </c>
      <c r="U9" s="38" t="s">
        <v>59</v>
      </c>
      <c r="V9" s="38" t="s">
        <v>60</v>
      </c>
      <c r="W9" s="38" t="s">
        <v>61</v>
      </c>
      <c r="X9" s="38" t="s">
        <v>62</v>
      </c>
      <c r="Y9" s="38" t="s">
        <v>63</v>
      </c>
      <c r="Z9" s="38" t="s">
        <v>64</v>
      </c>
      <c r="AA9" s="38" t="s">
        <v>65</v>
      </c>
      <c r="AB9" s="38" t="s">
        <v>66</v>
      </c>
      <c r="AC9" s="38" t="s">
        <v>67</v>
      </c>
      <c r="AD9" s="41" t="s">
        <v>68</v>
      </c>
      <c r="AE9" s="38" t="s">
        <v>69</v>
      </c>
    </row>
    <row r="10" spans="1:31" s="53" customFormat="1" ht="89.25" customHeight="1" x14ac:dyDescent="0.2">
      <c r="A10" s="43">
        <v>1</v>
      </c>
      <c r="B10" s="44">
        <v>668659972003</v>
      </c>
      <c r="C10" s="44">
        <v>50398096</v>
      </c>
      <c r="D10" s="44" t="s">
        <v>29</v>
      </c>
      <c r="E10" s="45" t="s">
        <v>72</v>
      </c>
      <c r="F10" s="45" t="s">
        <v>70</v>
      </c>
      <c r="G10" s="44" t="s">
        <v>25</v>
      </c>
      <c r="H10" s="60" t="s">
        <v>78</v>
      </c>
      <c r="I10" s="46">
        <v>46007</v>
      </c>
      <c r="J10" s="47">
        <v>101679392108</v>
      </c>
      <c r="K10" s="47">
        <v>6113277475</v>
      </c>
      <c r="L10" s="48">
        <v>669.04</v>
      </c>
      <c r="M10" s="47">
        <v>14</v>
      </c>
      <c r="N10" s="49">
        <v>0</v>
      </c>
      <c r="O10" s="49">
        <v>0</v>
      </c>
      <c r="P10" s="47">
        <f t="shared" ref="P10:P15" si="0">L10*M10</f>
        <v>9366.56</v>
      </c>
      <c r="Q10" s="50">
        <f t="shared" ref="Q10:Q15" si="1">L10/4*N10</f>
        <v>0</v>
      </c>
      <c r="R10" s="49">
        <v>0</v>
      </c>
      <c r="S10" s="49">
        <v>0</v>
      </c>
      <c r="T10" s="47">
        <f t="shared" ref="T10:T15" si="2">SUM(P10:S10)</f>
        <v>9366.56</v>
      </c>
      <c r="U10" s="47">
        <f t="shared" ref="U10:U15" si="3">IF(P10&gt;15000,1800,P10*12%)</f>
        <v>1123.9871999999998</v>
      </c>
      <c r="V10" s="47">
        <f t="shared" ref="V10:V15" si="4">T10*0.75%</f>
        <v>70.249199999999988</v>
      </c>
      <c r="W10" s="49">
        <f t="shared" ref="W10:W15" si="5">IF(T10&gt;10000,200,IF(T10&gt;7500,175,0))</f>
        <v>175</v>
      </c>
      <c r="X10" s="49">
        <v>25</v>
      </c>
      <c r="Y10" s="47">
        <v>0</v>
      </c>
      <c r="Z10" s="47">
        <f t="shared" ref="Z10:Z15" si="6">SUM(U10:Y10)</f>
        <v>1394.2363999999998</v>
      </c>
      <c r="AA10" s="47">
        <f t="shared" ref="AA10:AA15" si="7">T10-Z10</f>
        <v>7972.3235999999997</v>
      </c>
      <c r="AB10" s="51"/>
      <c r="AC10" s="47" t="s">
        <v>33</v>
      </c>
      <c r="AD10" s="44" t="s">
        <v>34</v>
      </c>
      <c r="AE10" s="52"/>
    </row>
    <row r="11" spans="1:31" s="53" customFormat="1" ht="89.25" customHeight="1" x14ac:dyDescent="0.2">
      <c r="A11" s="43">
        <f t="shared" ref="A11:A15" si="8">A10+1</f>
        <v>2</v>
      </c>
      <c r="B11" s="44">
        <v>690783849641</v>
      </c>
      <c r="C11" s="44">
        <v>100425244955</v>
      </c>
      <c r="D11" s="44" t="s">
        <v>27</v>
      </c>
      <c r="E11" s="45" t="s">
        <v>73</v>
      </c>
      <c r="F11" s="45" t="s">
        <v>70</v>
      </c>
      <c r="G11" s="44" t="s">
        <v>24</v>
      </c>
      <c r="H11" s="60" t="s">
        <v>78</v>
      </c>
      <c r="I11" s="46">
        <v>46007</v>
      </c>
      <c r="J11" s="47">
        <v>102235624924</v>
      </c>
      <c r="K11" s="47">
        <v>3417997950</v>
      </c>
      <c r="L11" s="48">
        <v>669.04</v>
      </c>
      <c r="M11" s="47">
        <v>14</v>
      </c>
      <c r="N11" s="49">
        <v>0</v>
      </c>
      <c r="O11" s="49">
        <v>0</v>
      </c>
      <c r="P11" s="47">
        <f t="shared" si="0"/>
        <v>9366.56</v>
      </c>
      <c r="Q11" s="50">
        <f t="shared" si="1"/>
        <v>0</v>
      </c>
      <c r="R11" s="49">
        <v>0</v>
      </c>
      <c r="S11" s="49">
        <v>0</v>
      </c>
      <c r="T11" s="47">
        <f t="shared" si="2"/>
        <v>9366.56</v>
      </c>
      <c r="U11" s="47">
        <f t="shared" si="3"/>
        <v>1123.9871999999998</v>
      </c>
      <c r="V11" s="47">
        <f t="shared" si="4"/>
        <v>70.249199999999988</v>
      </c>
      <c r="W11" s="49">
        <f t="shared" si="5"/>
        <v>175</v>
      </c>
      <c r="X11" s="49">
        <v>25</v>
      </c>
      <c r="Y11" s="47">
        <v>0</v>
      </c>
      <c r="Z11" s="47">
        <f t="shared" si="6"/>
        <v>1394.2363999999998</v>
      </c>
      <c r="AA11" s="47">
        <f t="shared" si="7"/>
        <v>7972.3235999999997</v>
      </c>
      <c r="AB11" s="51"/>
      <c r="AC11" s="47" t="s">
        <v>33</v>
      </c>
      <c r="AD11" s="44" t="s">
        <v>34</v>
      </c>
      <c r="AE11" s="52"/>
    </row>
    <row r="12" spans="1:31" s="53" customFormat="1" ht="89.25" customHeight="1" x14ac:dyDescent="0.2">
      <c r="A12" s="43">
        <f t="shared" si="8"/>
        <v>3</v>
      </c>
      <c r="B12" s="44">
        <v>621584005209</v>
      </c>
      <c r="C12" s="44">
        <v>103424207342</v>
      </c>
      <c r="D12" s="44" t="s">
        <v>31</v>
      </c>
      <c r="E12" s="45" t="s">
        <v>74</v>
      </c>
      <c r="F12" s="45" t="s">
        <v>70</v>
      </c>
      <c r="G12" s="44" t="s">
        <v>25</v>
      </c>
      <c r="H12" s="60" t="s">
        <v>78</v>
      </c>
      <c r="I12" s="46">
        <v>46007</v>
      </c>
      <c r="J12" s="47">
        <v>101212654335</v>
      </c>
      <c r="K12" s="47">
        <v>3417482237</v>
      </c>
      <c r="L12" s="48">
        <v>669.04</v>
      </c>
      <c r="M12" s="47">
        <v>5</v>
      </c>
      <c r="N12" s="49">
        <v>0</v>
      </c>
      <c r="O12" s="49">
        <v>0</v>
      </c>
      <c r="P12" s="47">
        <f t="shared" si="0"/>
        <v>3345.2</v>
      </c>
      <c r="Q12" s="50">
        <f t="shared" si="1"/>
        <v>0</v>
      </c>
      <c r="R12" s="49">
        <v>0</v>
      </c>
      <c r="S12" s="49">
        <v>0</v>
      </c>
      <c r="T12" s="47">
        <f t="shared" si="2"/>
        <v>3345.2</v>
      </c>
      <c r="U12" s="47">
        <f t="shared" si="3"/>
        <v>401.42399999999998</v>
      </c>
      <c r="V12" s="47">
        <f t="shared" si="4"/>
        <v>25.088999999999999</v>
      </c>
      <c r="W12" s="49">
        <f t="shared" si="5"/>
        <v>0</v>
      </c>
      <c r="X12" s="49">
        <v>25</v>
      </c>
      <c r="Y12" s="47">
        <v>0</v>
      </c>
      <c r="Z12" s="47">
        <f t="shared" si="6"/>
        <v>451.51299999999998</v>
      </c>
      <c r="AA12" s="47">
        <f t="shared" si="7"/>
        <v>2893.6869999999999</v>
      </c>
      <c r="AB12" s="51"/>
      <c r="AC12" s="47" t="s">
        <v>33</v>
      </c>
      <c r="AD12" s="44" t="s">
        <v>34</v>
      </c>
      <c r="AE12" s="52"/>
    </row>
    <row r="13" spans="1:31" s="53" customFormat="1" ht="89.25" customHeight="1" x14ac:dyDescent="0.2">
      <c r="A13" s="43">
        <f t="shared" si="8"/>
        <v>4</v>
      </c>
      <c r="B13" s="44">
        <v>913366880513</v>
      </c>
      <c r="C13" s="44">
        <v>2634723</v>
      </c>
      <c r="D13" s="44" t="s">
        <v>28</v>
      </c>
      <c r="E13" s="45" t="s">
        <v>71</v>
      </c>
      <c r="F13" s="45" t="s">
        <v>70</v>
      </c>
      <c r="G13" s="44" t="s">
        <v>25</v>
      </c>
      <c r="H13" s="60" t="s">
        <v>78</v>
      </c>
      <c r="I13" s="46">
        <v>46011</v>
      </c>
      <c r="J13" s="47">
        <v>101151792159</v>
      </c>
      <c r="K13" s="47">
        <v>3418170810</v>
      </c>
      <c r="L13" s="48">
        <v>669.04</v>
      </c>
      <c r="M13" s="47">
        <v>9</v>
      </c>
      <c r="N13" s="49">
        <v>0</v>
      </c>
      <c r="O13" s="49">
        <v>0</v>
      </c>
      <c r="P13" s="47">
        <f t="shared" si="0"/>
        <v>6021.36</v>
      </c>
      <c r="Q13" s="50">
        <f t="shared" si="1"/>
        <v>0</v>
      </c>
      <c r="R13" s="49">
        <v>0</v>
      </c>
      <c r="S13" s="49">
        <v>0</v>
      </c>
      <c r="T13" s="47">
        <f t="shared" si="2"/>
        <v>6021.36</v>
      </c>
      <c r="U13" s="47">
        <f t="shared" si="3"/>
        <v>722.56319999999994</v>
      </c>
      <c r="V13" s="47">
        <f t="shared" si="4"/>
        <v>45.160199999999996</v>
      </c>
      <c r="W13" s="49">
        <f t="shared" si="5"/>
        <v>0</v>
      </c>
      <c r="X13" s="49">
        <v>25</v>
      </c>
      <c r="Y13" s="47">
        <v>0</v>
      </c>
      <c r="Z13" s="47">
        <f t="shared" si="6"/>
        <v>792.72339999999997</v>
      </c>
      <c r="AA13" s="47">
        <f t="shared" si="7"/>
        <v>5228.6365999999998</v>
      </c>
      <c r="AB13" s="51"/>
      <c r="AC13" s="47" t="s">
        <v>33</v>
      </c>
      <c r="AD13" s="44" t="s">
        <v>34</v>
      </c>
      <c r="AE13" s="52"/>
    </row>
    <row r="14" spans="1:31" s="53" customFormat="1" ht="89.25" customHeight="1" x14ac:dyDescent="0.2">
      <c r="A14" s="43">
        <f t="shared" si="8"/>
        <v>5</v>
      </c>
      <c r="B14" s="44">
        <v>737469683389</v>
      </c>
      <c r="C14" s="44">
        <v>100522079278</v>
      </c>
      <c r="D14" s="44" t="s">
        <v>30</v>
      </c>
      <c r="E14" s="45" t="s">
        <v>75</v>
      </c>
      <c r="F14" s="45" t="s">
        <v>70</v>
      </c>
      <c r="G14" s="44" t="s">
        <v>26</v>
      </c>
      <c r="H14" s="60" t="s">
        <v>77</v>
      </c>
      <c r="I14" s="46">
        <v>46013</v>
      </c>
      <c r="J14" s="47">
        <v>101892561805</v>
      </c>
      <c r="K14" s="47">
        <v>1327480527</v>
      </c>
      <c r="L14" s="48">
        <v>614.41999999999996</v>
      </c>
      <c r="M14" s="47">
        <v>8</v>
      </c>
      <c r="N14" s="49">
        <v>0</v>
      </c>
      <c r="O14" s="49">
        <v>0</v>
      </c>
      <c r="P14" s="47">
        <f t="shared" si="0"/>
        <v>4915.3599999999997</v>
      </c>
      <c r="Q14" s="50">
        <f t="shared" si="1"/>
        <v>0</v>
      </c>
      <c r="R14" s="49">
        <v>0</v>
      </c>
      <c r="S14" s="49">
        <v>0</v>
      </c>
      <c r="T14" s="47">
        <f t="shared" si="2"/>
        <v>4915.3599999999997</v>
      </c>
      <c r="U14" s="47">
        <f t="shared" si="3"/>
        <v>589.84319999999991</v>
      </c>
      <c r="V14" s="47">
        <f t="shared" si="4"/>
        <v>36.865199999999994</v>
      </c>
      <c r="W14" s="49">
        <f t="shared" si="5"/>
        <v>0</v>
      </c>
      <c r="X14" s="49">
        <v>25</v>
      </c>
      <c r="Y14" s="47">
        <v>0</v>
      </c>
      <c r="Z14" s="47">
        <f t="shared" si="6"/>
        <v>651.70839999999987</v>
      </c>
      <c r="AA14" s="47">
        <f t="shared" si="7"/>
        <v>4263.6516000000001</v>
      </c>
      <c r="AB14" s="51"/>
      <c r="AC14" s="47" t="s">
        <v>33</v>
      </c>
      <c r="AD14" s="44" t="s">
        <v>34</v>
      </c>
      <c r="AE14" s="52"/>
    </row>
    <row r="15" spans="1:31" s="53" customFormat="1" ht="89.25" customHeight="1" x14ac:dyDescent="0.2">
      <c r="A15" s="43">
        <f t="shared" si="8"/>
        <v>6</v>
      </c>
      <c r="B15" s="44">
        <v>467928491009</v>
      </c>
      <c r="C15" s="44">
        <v>100522079261</v>
      </c>
      <c r="D15" s="44" t="s">
        <v>32</v>
      </c>
      <c r="E15" s="45" t="s">
        <v>76</v>
      </c>
      <c r="F15" s="45" t="s">
        <v>70</v>
      </c>
      <c r="G15" s="44" t="s">
        <v>26</v>
      </c>
      <c r="H15" s="60" t="s">
        <v>77</v>
      </c>
      <c r="I15" s="46">
        <v>46013</v>
      </c>
      <c r="J15" s="47">
        <v>101892562113</v>
      </c>
      <c r="K15" s="47">
        <v>3418174867</v>
      </c>
      <c r="L15" s="48">
        <v>614.41999999999996</v>
      </c>
      <c r="M15" s="47">
        <v>8</v>
      </c>
      <c r="N15" s="49">
        <v>0</v>
      </c>
      <c r="O15" s="49">
        <v>0</v>
      </c>
      <c r="P15" s="47">
        <f t="shared" si="0"/>
        <v>4915.3599999999997</v>
      </c>
      <c r="Q15" s="50">
        <f t="shared" si="1"/>
        <v>0</v>
      </c>
      <c r="R15" s="49">
        <v>0</v>
      </c>
      <c r="S15" s="49">
        <v>0</v>
      </c>
      <c r="T15" s="47">
        <f t="shared" si="2"/>
        <v>4915.3599999999997</v>
      </c>
      <c r="U15" s="47">
        <f t="shared" si="3"/>
        <v>589.84319999999991</v>
      </c>
      <c r="V15" s="47">
        <f t="shared" si="4"/>
        <v>36.865199999999994</v>
      </c>
      <c r="W15" s="49">
        <f t="shared" si="5"/>
        <v>0</v>
      </c>
      <c r="X15" s="49">
        <v>25</v>
      </c>
      <c r="Y15" s="47">
        <v>0</v>
      </c>
      <c r="Z15" s="47">
        <f t="shared" si="6"/>
        <v>651.70839999999987</v>
      </c>
      <c r="AA15" s="47">
        <f t="shared" si="7"/>
        <v>4263.6516000000001</v>
      </c>
      <c r="AB15" s="51"/>
      <c r="AC15" s="47" t="s">
        <v>33</v>
      </c>
      <c r="AD15" s="44" t="s">
        <v>34</v>
      </c>
      <c r="AE15" s="52"/>
    </row>
    <row r="16" spans="1:31" s="53" customFormat="1" ht="89.25" customHeight="1" x14ac:dyDescent="0.2">
      <c r="A16" s="43"/>
      <c r="B16" s="62"/>
      <c r="C16" s="44"/>
      <c r="D16" s="44"/>
      <c r="E16" s="45"/>
      <c r="F16" s="45"/>
      <c r="G16" s="44"/>
      <c r="H16" s="60"/>
      <c r="I16" s="46"/>
      <c r="J16" s="47"/>
      <c r="K16" s="47"/>
      <c r="L16" s="48"/>
      <c r="M16" s="61">
        <f t="shared" ref="M16:AA16" si="9">SUM(M10:M15)</f>
        <v>58</v>
      </c>
      <c r="N16" s="61">
        <f t="shared" si="9"/>
        <v>0</v>
      </c>
      <c r="O16" s="61">
        <f t="shared" si="9"/>
        <v>0</v>
      </c>
      <c r="P16" s="61">
        <f t="shared" si="9"/>
        <v>37930.400000000001</v>
      </c>
      <c r="Q16" s="61">
        <f t="shared" si="9"/>
        <v>0</v>
      </c>
      <c r="R16" s="61">
        <f t="shared" si="9"/>
        <v>0</v>
      </c>
      <c r="S16" s="61">
        <f t="shared" si="9"/>
        <v>0</v>
      </c>
      <c r="T16" s="61">
        <f t="shared" si="9"/>
        <v>37930.400000000001</v>
      </c>
      <c r="U16" s="61">
        <f t="shared" si="9"/>
        <v>4551.6479999999992</v>
      </c>
      <c r="V16" s="61">
        <f t="shared" si="9"/>
        <v>284.47799999999995</v>
      </c>
      <c r="W16" s="61">
        <f t="shared" si="9"/>
        <v>350</v>
      </c>
      <c r="X16" s="61">
        <f t="shared" si="9"/>
        <v>150</v>
      </c>
      <c r="Y16" s="61">
        <f t="shared" si="9"/>
        <v>0</v>
      </c>
      <c r="Z16" s="61">
        <f t="shared" si="9"/>
        <v>5336.1259999999984</v>
      </c>
      <c r="AA16" s="61">
        <f t="shared" si="9"/>
        <v>32594.273999999998</v>
      </c>
      <c r="AB16" s="51"/>
      <c r="AC16" s="47"/>
      <c r="AD16" s="44"/>
      <c r="AE16" s="52"/>
    </row>
  </sheetData>
  <autoFilter ref="A9:AE9" xr:uid="{BDC202CF-CAC5-4C7F-AF81-A4D2D85B9E48}"/>
  <mergeCells count="3">
    <mergeCell ref="A1:AE1"/>
    <mergeCell ref="A2:AE2"/>
    <mergeCell ref="A3:AE3"/>
  </mergeCells>
  <conditionalFormatting sqref="B1:B15">
    <cfRule type="duplicateValues" dxfId="59" priority="6662"/>
    <cfRule type="duplicateValues" dxfId="58" priority="6663"/>
  </conditionalFormatting>
  <conditionalFormatting sqref="B1:B1048576">
    <cfRule type="duplicateValues" dxfId="57" priority="1"/>
  </conditionalFormatting>
  <conditionalFormatting sqref="B4:B9">
    <cfRule type="duplicateValues" dxfId="56" priority="180"/>
    <cfRule type="duplicateValues" dxfId="55" priority="181"/>
    <cfRule type="duplicateValues" dxfId="54" priority="182"/>
  </conditionalFormatting>
  <conditionalFormatting sqref="B16">
    <cfRule type="duplicateValues" dxfId="53" priority="6462"/>
    <cfRule type="duplicateValues" dxfId="52" priority="6463"/>
    <cfRule type="duplicateValues" dxfId="51" priority="6464"/>
    <cfRule type="duplicateValues" dxfId="50" priority="6465"/>
    <cfRule type="duplicateValues" dxfId="49" priority="6466"/>
    <cfRule type="duplicateValues" dxfId="48" priority="6467"/>
  </conditionalFormatting>
  <conditionalFormatting sqref="C1:C9">
    <cfRule type="duplicateValues" dxfId="47" priority="179"/>
  </conditionalFormatting>
  <conditionalFormatting sqref="C1:C16">
    <cfRule type="duplicateValues" dxfId="46" priority="6666"/>
    <cfRule type="duplicateValues" dxfId="45" priority="6667"/>
    <cfRule type="duplicateValues" dxfId="44" priority="6668"/>
    <cfRule type="duplicateValues" dxfId="43" priority="6669"/>
  </conditionalFormatting>
  <conditionalFormatting sqref="C1:C1048576">
    <cfRule type="duplicateValues" dxfId="42" priority="174"/>
  </conditionalFormatting>
  <conditionalFormatting sqref="C4:C9">
    <cfRule type="duplicateValues" dxfId="41" priority="172"/>
    <cfRule type="duplicateValues" dxfId="40" priority="173"/>
  </conditionalFormatting>
  <conditionalFormatting sqref="J1:J1048576">
    <cfRule type="duplicateValues" dxfId="39" priority="6659"/>
  </conditionalFormatting>
  <conditionalFormatting sqref="K1:K9">
    <cfRule type="duplicateValues" dxfId="38" priority="149"/>
    <cfRule type="duplicateValues" dxfId="37" priority="6443"/>
    <cfRule type="duplicateValues" dxfId="36" priority="6444"/>
    <cfRule type="duplicateValues" dxfId="35" priority="6445"/>
  </conditionalFormatting>
  <conditionalFormatting sqref="K4:K9">
    <cfRule type="duplicateValues" dxfId="34" priority="6446"/>
    <cfRule type="duplicateValues" dxfId="33" priority="6447"/>
    <cfRule type="duplicateValues" dxfId="32" priority="6448"/>
    <cfRule type="duplicateValues" dxfId="31" priority="6449"/>
    <cfRule type="duplicateValues" dxfId="30" priority="6450"/>
    <cfRule type="duplicateValues" dxfId="29" priority="6451"/>
    <cfRule type="duplicateValues" dxfId="28" priority="6452"/>
  </conditionalFormatting>
  <conditionalFormatting sqref="K10:K15">
    <cfRule type="duplicateValues" dxfId="27" priority="6674"/>
  </conditionalFormatting>
  <conditionalFormatting sqref="K16">
    <cfRule type="duplicateValues" dxfId="26" priority="6566"/>
  </conditionalFormatting>
  <pageMargins left="0.23622047244094491" right="0.23622047244094491" top="0.74803149606299213" bottom="0.74803149606299213" header="0.31496062992125984" footer="0.31496062992125984"/>
  <pageSetup paperSize="9" scale="17" fitToHeight="0" orientation="landscape" r:id="rId1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Master Muster </vt:lpstr>
      <vt:lpstr>Master Wage</vt:lpstr>
      <vt:lpstr>'Master Muster '!Print_Area</vt:lpstr>
      <vt:lpstr>'Master Wage'!Print_Area</vt:lpstr>
      <vt:lpstr>'Master Muster '!Print_Titles</vt:lpstr>
      <vt:lpstr>'Master Wage'!Print_Titles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MAHESHWARI</dc:creator>
  <cp:lastModifiedBy>Manisha Bharti</cp:lastModifiedBy>
  <cp:lastPrinted>2026-01-05T10:31:13Z</cp:lastPrinted>
  <dcterms:created xsi:type="dcterms:W3CDTF">2015-06-05T18:17:20Z</dcterms:created>
  <dcterms:modified xsi:type="dcterms:W3CDTF">2026-03-02T06:20:16Z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2026-01-02T13:06:47Z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1b7e6f6e-4058-4434-8669-ef434f799fd8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